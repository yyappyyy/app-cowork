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1月" sheetId="2" state="visible" r:id="rId2"/>
    <sheet name="2月" sheetId="3" state="visible" r:id="rId3"/>
    <sheet name="3月" sheetId="4" state="visible" r:id="rId4"/>
    <sheet name="4月" sheetId="5" state="visible" r:id="rId5"/>
    <sheet name="5月" sheetId="6" state="visible" r:id="rId6"/>
    <sheet name="6月" sheetId="7" state="visible" r:id="rId7"/>
    <sheet name="7月" sheetId="8" state="visible" r:id="rId8"/>
    <sheet name="8月" sheetId="9" state="visible" r:id="rId9"/>
    <sheet name="9月" sheetId="10" state="visible" r:id="rId10"/>
    <sheet name="10月" sheetId="11" state="visible" r:id="rId11"/>
    <sheet name="11月" sheetId="12" state="visible" r:id="rId12"/>
    <sheet name="12月" sheetId="13" state="visible" r:id="rId13"/>
    <sheet name="固定費・サブスク管理" sheetId="14" state="visible" r:id="rId14"/>
    <sheet name="貯蓄目標" sheetId="15" state="visible" r:id="rId15"/>
    <sheet name="使い方ガイド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+0%;-0%"/>
  </numFmts>
  <fonts count="12">
    <font>
      <name val="Calibri"/>
      <family val="2"/>
      <color theme="1"/>
      <sz val="11"/>
      <scheme val="minor"/>
    </font>
    <font>
      <name val="Arial"/>
      <b val="1"/>
      <color rgb="002C3E50"/>
      <sz val="20"/>
    </font>
    <font>
      <name val="Arial"/>
      <color rgb="00666666"/>
      <sz val="9"/>
    </font>
    <font>
      <name val="Arial"/>
      <b val="1"/>
      <color rgb="0027AE60"/>
      <sz val="16"/>
    </font>
    <font>
      <name val="Arial"/>
      <b val="1"/>
      <color rgb="00E74C3C"/>
      <sz val="16"/>
    </font>
    <font>
      <name val="Arial"/>
      <b val="1"/>
      <color rgb="003498DB"/>
      <sz val="16"/>
    </font>
    <font>
      <name val="Arial"/>
      <b val="1"/>
      <color rgb="002C3E50"/>
      <sz val="16"/>
    </font>
    <font>
      <name val="Arial"/>
      <b val="1"/>
      <color rgb="002C3E50"/>
      <sz val="13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2C3E50"/>
      <sz val="12"/>
    </font>
    <font>
      <name val="Arial"/>
      <b val="1"/>
      <color rgb="002C3E50"/>
      <sz val="11"/>
    </font>
  </fonts>
  <fills count="8">
    <fill>
      <patternFill/>
    </fill>
    <fill>
      <patternFill patternType="gray125"/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ECF0F1"/>
        <bgColor rgb="00ECF0F1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2" fillId="5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164" fontId="0" fillId="7" borderId="1" pivotButton="0" quotePrefix="0" xfId="0"/>
    <xf numFmtId="9" fontId="0" fillId="7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applyAlignment="1" pivotButton="0" quotePrefix="0" xfId="0">
      <alignment horizontal="center"/>
    </xf>
    <xf numFmtId="165" fontId="0" fillId="7" borderId="1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2" borderId="0" pivotButton="0" quotePrefix="0" xfId="0"/>
    <xf numFmtId="164" fontId="11" fillId="0" borderId="0" pivotButton="0" quotePrefix="0" xfId="0"/>
    <xf numFmtId="3" fontId="0" fillId="0" borderId="1" pivotButton="0" quotePrefix="0" xfId="0"/>
    <xf numFmtId="0" fontId="11" fillId="3" borderId="0" pivotButton="0" quotePrefix="0" xfId="0"/>
    <xf numFmtId="0" fontId="11" fillId="4" borderId="0" pivotButton="0" quotePrefix="0" xfId="0"/>
    <xf numFmtId="0" fontId="9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'ダッシュボード'!C9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'ダッシュボード'!$B$10:$B$21</f>
            </numRef>
          </cat>
          <val>
            <numRef>
              <f>'ダッシュボード'!$C$10:$C$21</f>
            </numRef>
          </val>
        </ser>
        <ser>
          <idx val="1"/>
          <order val="1"/>
          <tx>
            <strRef>
              <f>'ダッシュボード'!D9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'ダッシュボード'!$B$10:$B$21</f>
            </numRef>
          </cat>
          <val>
            <numRef>
              <f>'ダッシュボード'!$D$10:$D$21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金額（円）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'ダッシュボード'!E9</f>
            </strRef>
          </tx>
          <spPr>
            <a:ln w="25000">
              <a:solidFill>
                <a:srgbClr val="3498D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'ダッシュボード'!$B$10:$B$21</f>
            </numRef>
          </cat>
          <val>
            <numRef>
              <f>'ダッシュボード'!$E$10:$E$21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貯蓄額（円）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支出カテゴリ構成比</a:t>
            </a:r>
          </a:p>
        </rich>
      </tx>
    </title>
    <plotArea>
      <pieChart>
        <varyColors val="1"/>
        <ser>
          <idx val="0"/>
          <order val="0"/>
          <tx>
            <strRef>
              <f>'ダッシュボード'!K9</f>
            </strRef>
          </tx>
          <spPr>
            <a:ln>
              <a:prstDash val="solid"/>
            </a:ln>
          </spPr>
          <cat>
            <numRef>
              <f>'ダッシュボード'!$J$10:$J$23</f>
            </numRef>
          </cat>
          <val>
            <numRef>
              <f>'ダッシュボード'!$K$10:$K$23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41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24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1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  <col width="22" customWidth="1" min="10" max="10"/>
    <col width="14" customWidth="1" min="11" max="11"/>
    <col width="10" customWidth="1" min="12" max="12"/>
  </cols>
  <sheetData>
    <row r="1" ht="10" customHeight="1"/>
    <row r="2" ht="30" customHeight="1">
      <c r="B2" s="1" t="inlineStr">
        <is>
          <t>📊 家計簿ダッシュボード</t>
        </is>
      </c>
    </row>
    <row r="3" ht="8" customHeight="1"/>
    <row r="4" ht="18" customHeight="1">
      <c r="B4" s="2" t="inlineStr">
        <is>
          <t>💰 年間収入</t>
        </is>
      </c>
      <c r="C4" s="3" t="n"/>
      <c r="D4" s="4" t="inlineStr">
        <is>
          <t>💸 年間支出</t>
        </is>
      </c>
      <c r="E4" s="5" t="n"/>
      <c r="F4" s="6" t="inlineStr">
        <is>
          <t>🏦 年間貯蓄</t>
        </is>
      </c>
      <c r="G4" s="7" t="n"/>
      <c r="H4" s="8" t="inlineStr">
        <is>
          <t>📈 貯蓄率</t>
        </is>
      </c>
    </row>
    <row r="5" ht="30" customHeight="1">
      <c r="B5" s="9">
        <f>SUM(C10:C21)</f>
        <v/>
      </c>
      <c r="C5" s="3" t="n"/>
      <c r="D5" s="10">
        <f>SUM(D10:D21)</f>
        <v/>
      </c>
      <c r="E5" s="5" t="n"/>
      <c r="F5" s="11">
        <f>B5-D5</f>
        <v/>
      </c>
      <c r="G5" s="7" t="n"/>
      <c r="H5" s="12">
        <f>IF(B5=0,"--",F5/B5)</f>
        <v/>
      </c>
    </row>
    <row r="6" ht="14" customHeight="1"/>
    <row r="7" ht="8" customHeight="1"/>
    <row r="8" ht="22" customHeight="1">
      <c r="B8" s="13" t="inlineStr">
        <is>
          <t>📅 月別収支サマリー</t>
        </is>
      </c>
      <c r="J8" s="13" t="inlineStr">
        <is>
          <t>🏷️ カテゴリ別 年間支出</t>
        </is>
      </c>
    </row>
    <row r="9">
      <c r="A9" s="14" t="n"/>
      <c r="B9" s="14" t="inlineStr">
        <is>
          <t>月</t>
        </is>
      </c>
      <c r="C9" s="14" t="inlineStr">
        <is>
          <t>収入</t>
        </is>
      </c>
      <c r="D9" s="14" t="inlineStr">
        <is>
          <t>支出</t>
        </is>
      </c>
      <c r="E9" s="14" t="inlineStr">
        <is>
          <t>貯蓄</t>
        </is>
      </c>
      <c r="F9" s="14" t="inlineStr">
        <is>
          <t>貯蓄率</t>
        </is>
      </c>
      <c r="G9" s="14" t="inlineStr">
        <is>
          <t>前月比支出</t>
        </is>
      </c>
      <c r="H9" s="14" t="inlineStr">
        <is>
          <t>評価</t>
        </is>
      </c>
      <c r="J9" s="15" t="inlineStr">
        <is>
          <t>カテゴリ</t>
        </is>
      </c>
      <c r="K9" s="15" t="inlineStr">
        <is>
          <t>年間合計</t>
        </is>
      </c>
      <c r="L9" s="15" t="inlineStr">
        <is>
          <t>構成比</t>
        </is>
      </c>
    </row>
    <row r="10">
      <c r="B10" s="16" t="inlineStr">
        <is>
          <t>1月</t>
        </is>
      </c>
      <c r="C10" s="17">
        <f>'1月'!E3</f>
        <v/>
      </c>
      <c r="D10" s="17">
        <f>'1月'!E10</f>
        <v/>
      </c>
      <c r="E10" s="17">
        <f>'1月'!E3-'1月'!E10</f>
        <v/>
      </c>
      <c r="F10" s="18">
        <f>IF('1月'!E3=0,"",('1月'!E3-'1月'!E10)/'1月'!E3)</f>
        <v/>
      </c>
      <c r="G10" s="19">
        <f>"--"</f>
        <v/>
      </c>
      <c r="H10" s="20">
        <f>IF('1月'!E3=0,"",IF(('1月'!E3-'1月'!E10)/'1月'!E3&gt;=0.2,"◎ 優秀",IF(('1月'!E3-'1月'!E10)/'1月'!E3&gt;=0.1,"○ 良好",IF(('1月'!E3-'1月'!E10)&gt;=0,"△ 普通","✕ 赤字"))))</f>
        <v/>
      </c>
      <c r="J10" s="19" t="inlineStr">
        <is>
          <t>住居費（家賃/ローン）</t>
        </is>
      </c>
      <c r="K10" s="17">
        <f>'1月'!D11+'2月'!D11+'3月'!D11+'4月'!D11+'5月'!D11+'6月'!D11+'7月'!D11+'8月'!D11+'9月'!D11+'10月'!D11+'11月'!D11+'12月'!D11</f>
        <v/>
      </c>
      <c r="L10" s="21">
        <f>IF(D5=0,"",K10/D5)</f>
        <v/>
      </c>
    </row>
    <row r="11">
      <c r="B11" s="22" t="inlineStr">
        <is>
          <t>2月</t>
        </is>
      </c>
      <c r="C11" s="23">
        <f>'2月'!E3</f>
        <v/>
      </c>
      <c r="D11" s="23">
        <f>'2月'!E10</f>
        <v/>
      </c>
      <c r="E11" s="23">
        <f>'2月'!E3-'2月'!E10</f>
        <v/>
      </c>
      <c r="F11" s="24">
        <f>IF('2月'!E3=0,"",('2月'!E3-'2月'!E10)/'2月'!E3)</f>
        <v/>
      </c>
      <c r="G11" s="25">
        <f>IF(D10=0,"--",(D11-D10)/D10)</f>
        <v/>
      </c>
      <c r="H11" s="26">
        <f>IF('2月'!E3=0,"",IF(('2月'!E3-'2月'!E10)/'2月'!E3&gt;=0.2,"◎ 優秀",IF(('2月'!E3-'2月'!E10)/'2月'!E3&gt;=0.1,"○ 良好",IF(('2月'!E3-'2月'!E10)&gt;=0,"△ 普通","✕ 赤字"))))</f>
        <v/>
      </c>
      <c r="J11" s="27" t="inlineStr">
        <is>
          <t>水道光熱費</t>
        </is>
      </c>
      <c r="K11" s="23">
        <f>'1月'!D12+'2月'!D12+'3月'!D12+'4月'!D12+'5月'!D12+'6月'!D12+'7月'!D12+'8月'!D12+'9月'!D12+'10月'!D12+'11月'!D12+'12月'!D12</f>
        <v/>
      </c>
      <c r="L11" s="28">
        <f>IF(D5=0,"",K11/D5)</f>
        <v/>
      </c>
    </row>
    <row r="12">
      <c r="B12" s="16" t="inlineStr">
        <is>
          <t>3月</t>
        </is>
      </c>
      <c r="C12" s="17">
        <f>'3月'!E3</f>
        <v/>
      </c>
      <c r="D12" s="17">
        <f>'3月'!E10</f>
        <v/>
      </c>
      <c r="E12" s="17">
        <f>'3月'!E3-'3月'!E10</f>
        <v/>
      </c>
      <c r="F12" s="18">
        <f>IF('3月'!E3=0,"",('3月'!E3-'3月'!E10)/'3月'!E3)</f>
        <v/>
      </c>
      <c r="G12" s="29">
        <f>IF(D11=0,"--",(D12-D11)/D11)</f>
        <v/>
      </c>
      <c r="H12" s="20">
        <f>IF('3月'!E3=0,"",IF(('3月'!E3-'3月'!E10)/'3月'!E3&gt;=0.2,"◎ 優秀",IF(('3月'!E3-'3月'!E10)/'3月'!E3&gt;=0.1,"○ 良好",IF(('3月'!E3-'3月'!E10)&gt;=0,"△ 普通","✕ 赤字"))))</f>
        <v/>
      </c>
      <c r="J12" s="19" t="inlineStr">
        <is>
          <t>食費</t>
        </is>
      </c>
      <c r="K12" s="17">
        <f>'1月'!D13+'2月'!D13+'3月'!D13+'4月'!D13+'5月'!D13+'6月'!D13+'7月'!D13+'8月'!D13+'9月'!D13+'10月'!D13+'11月'!D13+'12月'!D13</f>
        <v/>
      </c>
      <c r="L12" s="21">
        <f>IF(D5=0,"",K12/D5)</f>
        <v/>
      </c>
    </row>
    <row r="13">
      <c r="B13" s="22" t="inlineStr">
        <is>
          <t>4月</t>
        </is>
      </c>
      <c r="C13" s="23">
        <f>'4月'!E3</f>
        <v/>
      </c>
      <c r="D13" s="23">
        <f>'4月'!E10</f>
        <v/>
      </c>
      <c r="E13" s="23">
        <f>'4月'!E3-'4月'!E10</f>
        <v/>
      </c>
      <c r="F13" s="24">
        <f>IF('4月'!E3=0,"",('4月'!E3-'4月'!E10)/'4月'!E3)</f>
        <v/>
      </c>
      <c r="G13" s="25">
        <f>IF(D12=0,"--",(D13-D12)/D12)</f>
        <v/>
      </c>
      <c r="H13" s="26">
        <f>IF('4月'!E3=0,"",IF(('4月'!E3-'4月'!E10)/'4月'!E3&gt;=0.2,"◎ 優秀",IF(('4月'!E3-'4月'!E10)/'4月'!E3&gt;=0.1,"○ 良好",IF(('4月'!E3-'4月'!E10)&gt;=0,"△ 普通","✕ 赤字"))))</f>
        <v/>
      </c>
      <c r="J13" s="27" t="inlineStr">
        <is>
          <t>日用品</t>
        </is>
      </c>
      <c r="K13" s="23">
        <f>'1月'!D14+'2月'!D14+'3月'!D14+'4月'!D14+'5月'!D14+'6月'!D14+'7月'!D14+'8月'!D14+'9月'!D14+'10月'!D14+'11月'!D14+'12月'!D14</f>
        <v/>
      </c>
      <c r="L13" s="28">
        <f>IF(D5=0,"",K13/D5)</f>
        <v/>
      </c>
    </row>
    <row r="14">
      <c r="B14" s="16" t="inlineStr">
        <is>
          <t>5月</t>
        </is>
      </c>
      <c r="C14" s="17">
        <f>'5月'!E3</f>
        <v/>
      </c>
      <c r="D14" s="17">
        <f>'5月'!E10</f>
        <v/>
      </c>
      <c r="E14" s="17">
        <f>'5月'!E3-'5月'!E10</f>
        <v/>
      </c>
      <c r="F14" s="18">
        <f>IF('5月'!E3=0,"",('5月'!E3-'5月'!E10)/'5月'!E3)</f>
        <v/>
      </c>
      <c r="G14" s="29">
        <f>IF(D13=0,"--",(D14-D13)/D13)</f>
        <v/>
      </c>
      <c r="H14" s="20">
        <f>IF('5月'!E3=0,"",IF(('5月'!E3-'5月'!E10)/'5月'!E3&gt;=0.2,"◎ 優秀",IF(('5月'!E3-'5月'!E10)/'5月'!E3&gt;=0.1,"○ 良好",IF(('5月'!E3-'5月'!E10)&gt;=0,"△ 普通","✕ 赤字"))))</f>
        <v/>
      </c>
      <c r="J14" s="19" t="inlineStr">
        <is>
          <t>交通費</t>
        </is>
      </c>
      <c r="K14" s="17">
        <f>'1月'!D15+'2月'!D15+'3月'!D15+'4月'!D15+'5月'!D15+'6月'!D15+'7月'!D15+'8月'!D15+'9月'!D15+'10月'!D15+'11月'!D15+'12月'!D15</f>
        <v/>
      </c>
      <c r="L14" s="21">
        <f>IF(D5=0,"",K14/D5)</f>
        <v/>
      </c>
    </row>
    <row r="15">
      <c r="B15" s="22" t="inlineStr">
        <is>
          <t>6月</t>
        </is>
      </c>
      <c r="C15" s="23">
        <f>'6月'!E3</f>
        <v/>
      </c>
      <c r="D15" s="23">
        <f>'6月'!E10</f>
        <v/>
      </c>
      <c r="E15" s="23">
        <f>'6月'!E3-'6月'!E10</f>
        <v/>
      </c>
      <c r="F15" s="24">
        <f>IF('6月'!E3=0,"",('6月'!E3-'6月'!E10)/'6月'!E3)</f>
        <v/>
      </c>
      <c r="G15" s="25">
        <f>IF(D14=0,"--",(D15-D14)/D14)</f>
        <v/>
      </c>
      <c r="H15" s="26">
        <f>IF('6月'!E3=0,"",IF(('6月'!E3-'6月'!E10)/'6月'!E3&gt;=0.2,"◎ 優秀",IF(('6月'!E3-'6月'!E10)/'6月'!E3&gt;=0.1,"○ 良好",IF(('6月'!E3-'6月'!E10)&gt;=0,"△ 普通","✕ 赤字"))))</f>
        <v/>
      </c>
      <c r="J15" s="27" t="inlineStr">
        <is>
          <t>通信費</t>
        </is>
      </c>
      <c r="K15" s="23">
        <f>'1月'!D16+'2月'!D16+'3月'!D16+'4月'!D16+'5月'!D16+'6月'!D16+'7月'!D16+'8月'!D16+'9月'!D16+'10月'!D16+'11月'!D16+'12月'!D16</f>
        <v/>
      </c>
      <c r="L15" s="28">
        <f>IF(D5=0,"",K15/D5)</f>
        <v/>
      </c>
    </row>
    <row r="16">
      <c r="B16" s="16" t="inlineStr">
        <is>
          <t>7月</t>
        </is>
      </c>
      <c r="C16" s="17">
        <f>'7月'!E3</f>
        <v/>
      </c>
      <c r="D16" s="17">
        <f>'7月'!E10</f>
        <v/>
      </c>
      <c r="E16" s="17">
        <f>'7月'!E3-'7月'!E10</f>
        <v/>
      </c>
      <c r="F16" s="18">
        <f>IF('7月'!E3=0,"",('7月'!E3-'7月'!E10)/'7月'!E3)</f>
        <v/>
      </c>
      <c r="G16" s="29">
        <f>IF(D15=0,"--",(D16-D15)/D15)</f>
        <v/>
      </c>
      <c r="H16" s="20">
        <f>IF('7月'!E3=0,"",IF(('7月'!E3-'7月'!E10)/'7月'!E3&gt;=0.2,"◎ 優秀",IF(('7月'!E3-'7月'!E10)/'7月'!E3&gt;=0.1,"○ 良好",IF(('7月'!E3-'7月'!E10)&gt;=0,"△ 普通","✕ 赤字"))))</f>
        <v/>
      </c>
      <c r="J16" s="19" t="inlineStr">
        <is>
          <t>保険料</t>
        </is>
      </c>
      <c r="K16" s="17">
        <f>'1月'!D17+'2月'!D17+'3月'!D17+'4月'!D17+'5月'!D17+'6月'!D17+'7月'!D17+'8月'!D17+'9月'!D17+'10月'!D17+'11月'!D17+'12月'!D17</f>
        <v/>
      </c>
      <c r="L16" s="21">
        <f>IF(D5=0,"",K16/D5)</f>
        <v/>
      </c>
    </row>
    <row r="17">
      <c r="B17" s="22" t="inlineStr">
        <is>
          <t>8月</t>
        </is>
      </c>
      <c r="C17" s="23">
        <f>'8月'!E3</f>
        <v/>
      </c>
      <c r="D17" s="23">
        <f>'8月'!E10</f>
        <v/>
      </c>
      <c r="E17" s="23">
        <f>'8月'!E3-'8月'!E10</f>
        <v/>
      </c>
      <c r="F17" s="24">
        <f>IF('8月'!E3=0,"",('8月'!E3-'8月'!E10)/'8月'!E3)</f>
        <v/>
      </c>
      <c r="G17" s="25">
        <f>IF(D16=0,"--",(D17-D16)/D16)</f>
        <v/>
      </c>
      <c r="H17" s="26">
        <f>IF('8月'!E3=0,"",IF(('8月'!E3-'8月'!E10)/'8月'!E3&gt;=0.2,"◎ 優秀",IF(('8月'!E3-'8月'!E10)/'8月'!E3&gt;=0.1,"○ 良好",IF(('8月'!E3-'8月'!E10)&gt;=0,"△ 普通","✕ 赤字"))))</f>
        <v/>
      </c>
      <c r="J17" s="27" t="inlineStr">
        <is>
          <t>医療費</t>
        </is>
      </c>
      <c r="K17" s="23">
        <f>'1月'!D18+'2月'!D18+'3月'!D18+'4月'!D18+'5月'!D18+'6月'!D18+'7月'!D18+'8月'!D18+'9月'!D18+'10月'!D18+'11月'!D18+'12月'!D18</f>
        <v/>
      </c>
      <c r="L17" s="28">
        <f>IF(D5=0,"",K17/D5)</f>
        <v/>
      </c>
    </row>
    <row r="18">
      <c r="B18" s="16" t="inlineStr">
        <is>
          <t>9月</t>
        </is>
      </c>
      <c r="C18" s="17">
        <f>'9月'!E3</f>
        <v/>
      </c>
      <c r="D18" s="17">
        <f>'9月'!E10</f>
        <v/>
      </c>
      <c r="E18" s="17">
        <f>'9月'!E3-'9月'!E10</f>
        <v/>
      </c>
      <c r="F18" s="18">
        <f>IF('9月'!E3=0,"",('9月'!E3-'9月'!E10)/'9月'!E3)</f>
        <v/>
      </c>
      <c r="G18" s="29">
        <f>IF(D17=0,"--",(D18-D17)/D17)</f>
        <v/>
      </c>
      <c r="H18" s="20">
        <f>IF('9月'!E3=0,"",IF(('9月'!E3-'9月'!E10)/'9月'!E3&gt;=0.2,"◎ 優秀",IF(('9月'!E3-'9月'!E10)/'9月'!E3&gt;=0.1,"○ 良好",IF(('9月'!E3-'9月'!E10)&gt;=0,"△ 普通","✕ 赤字"))))</f>
        <v/>
      </c>
      <c r="J18" s="19" t="inlineStr">
        <is>
          <t>教育費</t>
        </is>
      </c>
      <c r="K18" s="17">
        <f>'1月'!D19+'2月'!D19+'3月'!D19+'4月'!D19+'5月'!D19+'6月'!D19+'7月'!D19+'8月'!D19+'9月'!D19+'10月'!D19+'11月'!D19+'12月'!D19</f>
        <v/>
      </c>
      <c r="L18" s="21">
        <f>IF(D5=0,"",K18/D5)</f>
        <v/>
      </c>
    </row>
    <row r="19">
      <c r="B19" s="22" t="inlineStr">
        <is>
          <t>10月</t>
        </is>
      </c>
      <c r="C19" s="23">
        <f>'10月'!E3</f>
        <v/>
      </c>
      <c r="D19" s="23">
        <f>'10月'!E10</f>
        <v/>
      </c>
      <c r="E19" s="23">
        <f>'10月'!E3-'10月'!E10</f>
        <v/>
      </c>
      <c r="F19" s="24">
        <f>IF('10月'!E3=0,"",('10月'!E3-'10月'!E10)/'10月'!E3)</f>
        <v/>
      </c>
      <c r="G19" s="25">
        <f>IF(D18=0,"--",(D19-D18)/D18)</f>
        <v/>
      </c>
      <c r="H19" s="26">
        <f>IF('10月'!E3=0,"",IF(('10月'!E3-'10月'!E10)/'10月'!E3&gt;=0.2,"◎ 優秀",IF(('10月'!E3-'10月'!E10)/'10月'!E3&gt;=0.1,"○ 良好",IF(('10月'!E3-'10月'!E10)&gt;=0,"△ 普通","✕ 赤字"))))</f>
        <v/>
      </c>
      <c r="J19" s="27" t="inlineStr">
        <is>
          <t>娯楽費</t>
        </is>
      </c>
      <c r="K19" s="23">
        <f>'1月'!D20+'2月'!D20+'3月'!D20+'4月'!D20+'5月'!D20+'6月'!D20+'7月'!D20+'8月'!D20+'9月'!D20+'10月'!D20+'11月'!D20+'12月'!D20</f>
        <v/>
      </c>
      <c r="L19" s="28">
        <f>IF(D5=0,"",K19/D5)</f>
        <v/>
      </c>
    </row>
    <row r="20">
      <c r="B20" s="16" t="inlineStr">
        <is>
          <t>11月</t>
        </is>
      </c>
      <c r="C20" s="17">
        <f>'11月'!E3</f>
        <v/>
      </c>
      <c r="D20" s="17">
        <f>'11月'!E10</f>
        <v/>
      </c>
      <c r="E20" s="17">
        <f>'11月'!E3-'11月'!E10</f>
        <v/>
      </c>
      <c r="F20" s="18">
        <f>IF('11月'!E3=0,"",('11月'!E3-'11月'!E10)/'11月'!E3)</f>
        <v/>
      </c>
      <c r="G20" s="29">
        <f>IF(D19=0,"--",(D20-D19)/D19)</f>
        <v/>
      </c>
      <c r="H20" s="20">
        <f>IF('11月'!E3=0,"",IF(('11月'!E3-'11月'!E10)/'11月'!E3&gt;=0.2,"◎ 優秀",IF(('11月'!E3-'11月'!E10)/'11月'!E3&gt;=0.1,"○ 良好",IF(('11月'!E3-'11月'!E10)&gt;=0,"△ 普通","✕ 赤字"))))</f>
        <v/>
      </c>
      <c r="J20" s="19" t="inlineStr">
        <is>
          <t>衣服費</t>
        </is>
      </c>
      <c r="K20" s="17">
        <f>'1月'!D21+'2月'!D21+'3月'!D21+'4月'!D21+'5月'!D21+'6月'!D21+'7月'!D21+'8月'!D21+'9月'!D21+'10月'!D21+'11月'!D21+'12月'!D21</f>
        <v/>
      </c>
      <c r="L20" s="21">
        <f>IF(D5=0,"",K20/D5)</f>
        <v/>
      </c>
    </row>
    <row r="21">
      <c r="B21" s="22" t="inlineStr">
        <is>
          <t>12月</t>
        </is>
      </c>
      <c r="C21" s="23">
        <f>'12月'!E3</f>
        <v/>
      </c>
      <c r="D21" s="23">
        <f>'12月'!E10</f>
        <v/>
      </c>
      <c r="E21" s="23">
        <f>'12月'!E3-'12月'!E10</f>
        <v/>
      </c>
      <c r="F21" s="24">
        <f>IF('12月'!E3=0,"",('12月'!E3-'12月'!E10)/'12月'!E3)</f>
        <v/>
      </c>
      <c r="G21" s="25">
        <f>IF(D20=0,"--",(D21-D20)/D20)</f>
        <v/>
      </c>
      <c r="H21" s="26">
        <f>IF('12月'!E3=0,"",IF(('12月'!E3-'12月'!E10)/'12月'!E3&gt;=0.2,"◎ 優秀",IF(('12月'!E3-'12月'!E10)/'12月'!E3&gt;=0.1,"○ 良好",IF(('12月'!E3-'12月'!E10)&gt;=0,"△ 普通","✕ 赤字"))))</f>
        <v/>
      </c>
      <c r="J21" s="27" t="inlineStr">
        <is>
          <t>美容費</t>
        </is>
      </c>
      <c r="K21" s="23">
        <f>'1月'!D22+'2月'!D22+'3月'!D22+'4月'!D22+'5月'!D22+'6月'!D22+'7月'!D22+'8月'!D22+'9月'!D22+'10月'!D22+'11月'!D22+'12月'!D22</f>
        <v/>
      </c>
      <c r="L21" s="28">
        <f>IF(D5=0,"",K21/D5)</f>
        <v/>
      </c>
    </row>
    <row r="22">
      <c r="J22" s="19" t="inlineStr">
        <is>
          <t>交際費</t>
        </is>
      </c>
      <c r="K22" s="17">
        <f>'1月'!D23+'2月'!D23+'3月'!D23+'4月'!D23+'5月'!D23+'6月'!D23+'7月'!D23+'8月'!D23+'9月'!D23+'10月'!D23+'11月'!D23+'12月'!D23</f>
        <v/>
      </c>
      <c r="L22" s="21">
        <f>IF(D5=0,"",K22/D5)</f>
        <v/>
      </c>
    </row>
    <row r="23">
      <c r="B23" s="30" t="inlineStr">
        <is>
          <t>📊 月別 収入 vs 支出 推移</t>
        </is>
      </c>
      <c r="J23" s="27" t="inlineStr">
        <is>
          <t>その他</t>
        </is>
      </c>
      <c r="K23" s="23">
        <f>'1月'!D24+'2月'!D24+'3月'!D24+'4月'!D24+'5月'!D24+'6月'!D24+'7月'!D24+'8月'!D24+'9月'!D24+'10月'!D24+'11月'!D24+'12月'!D24</f>
        <v/>
      </c>
      <c r="L23" s="28">
        <f>IF(D5=0,"",K23/D5)</f>
        <v/>
      </c>
    </row>
    <row r="41">
      <c r="B41" s="30" t="inlineStr">
        <is>
          <t>💰 月別貯蓄額の推移</t>
        </is>
      </c>
    </row>
  </sheetData>
  <mergeCells count="8">
    <mergeCell ref="B8:H8"/>
    <mergeCell ref="B23:D23"/>
    <mergeCell ref="B41:D41"/>
    <mergeCell ref="B5:C5"/>
    <mergeCell ref="F5:G5"/>
    <mergeCell ref="D5:E5"/>
    <mergeCell ref="B2:H2"/>
    <mergeCell ref="J8:L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1月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300000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50000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5000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80000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15000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45000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8000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12000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10000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15000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3000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15000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5000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3000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10000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5000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2月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300000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45000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5000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10000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80000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13000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42000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7000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11000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10000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15000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5000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12000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3000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4000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8000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4000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3月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300000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60000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8000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80000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12000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48000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9000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13000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10000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15000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5000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20000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8000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3000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15000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6000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4月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5月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6月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7月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8月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9月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10月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11月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B1" s="31" t="inlineStr">
        <is>
          <t>📋 12月 家計簿</t>
        </is>
      </c>
    </row>
    <row r="3">
      <c r="B3" s="32" t="inlineStr">
        <is>
          <t>【収入】</t>
        </is>
      </c>
      <c r="E3" s="33">
        <f>SUM(D4:D7)</f>
        <v/>
      </c>
    </row>
    <row r="4">
      <c r="B4" s="27" t="inlineStr">
        <is>
          <t>給与</t>
        </is>
      </c>
      <c r="C4" s="34" t="n">
        <v>0</v>
      </c>
      <c r="D4" s="34" t="n">
        <v>0</v>
      </c>
      <c r="E4" s="27" t="inlineStr"/>
      <c r="F4" s="27" t="inlineStr"/>
    </row>
    <row r="5">
      <c r="B5" s="27" t="inlineStr">
        <is>
          <t>副業</t>
        </is>
      </c>
      <c r="C5" s="34" t="n">
        <v>0</v>
      </c>
      <c r="D5" s="34" t="n">
        <v>0</v>
      </c>
      <c r="E5" s="27" t="inlineStr"/>
      <c r="F5" s="27" t="inlineStr"/>
    </row>
    <row r="6">
      <c r="B6" s="27" t="inlineStr">
        <is>
          <t>投資収入</t>
        </is>
      </c>
      <c r="C6" s="34" t="n">
        <v>0</v>
      </c>
      <c r="D6" s="34" t="n">
        <v>0</v>
      </c>
      <c r="E6" s="27" t="inlineStr"/>
      <c r="F6" s="27" t="inlineStr"/>
    </row>
    <row r="7">
      <c r="B7" s="27" t="inlineStr">
        <is>
          <t>その他収入</t>
        </is>
      </c>
      <c r="C7" s="34" t="n">
        <v>0</v>
      </c>
      <c r="D7" s="34" t="n">
        <v>0</v>
      </c>
      <c r="E7" s="27" t="inlineStr"/>
      <c r="F7" s="27" t="inlineStr"/>
    </row>
    <row r="10">
      <c r="B10" s="35" t="inlineStr">
        <is>
          <t>【支出】</t>
        </is>
      </c>
      <c r="E10" s="33">
        <f>SUM(D11:D24)</f>
        <v/>
      </c>
    </row>
    <row r="11">
      <c r="B11" s="27" t="inlineStr">
        <is>
          <t>住居費（家賃/ローン）</t>
        </is>
      </c>
      <c r="C11" s="34" t="n">
        <v>0</v>
      </c>
      <c r="D11" s="34" t="n">
        <v>0</v>
      </c>
      <c r="E11" s="27" t="inlineStr"/>
      <c r="F11" s="27" t="inlineStr"/>
    </row>
    <row r="12">
      <c r="B12" s="27" t="inlineStr">
        <is>
          <t>水道光熱費</t>
        </is>
      </c>
      <c r="C12" s="34" t="n">
        <v>0</v>
      </c>
      <c r="D12" s="34" t="n">
        <v>0</v>
      </c>
      <c r="E12" s="27" t="inlineStr"/>
      <c r="F12" s="27" t="inlineStr"/>
    </row>
    <row r="13">
      <c r="B13" s="27" t="inlineStr">
        <is>
          <t>食費</t>
        </is>
      </c>
      <c r="C13" s="34" t="n">
        <v>0</v>
      </c>
      <c r="D13" s="34" t="n">
        <v>0</v>
      </c>
      <c r="E13" s="27" t="inlineStr"/>
      <c r="F13" s="27" t="inlineStr"/>
    </row>
    <row r="14">
      <c r="B14" s="27" t="inlineStr">
        <is>
          <t>日用品</t>
        </is>
      </c>
      <c r="C14" s="34" t="n">
        <v>0</v>
      </c>
      <c r="D14" s="34" t="n">
        <v>0</v>
      </c>
      <c r="E14" s="27" t="inlineStr"/>
      <c r="F14" s="27" t="inlineStr"/>
    </row>
    <row r="15">
      <c r="B15" s="27" t="inlineStr">
        <is>
          <t>交通費</t>
        </is>
      </c>
      <c r="C15" s="34" t="n">
        <v>0</v>
      </c>
      <c r="D15" s="34" t="n">
        <v>0</v>
      </c>
      <c r="E15" s="27" t="inlineStr"/>
      <c r="F15" s="27" t="inlineStr"/>
    </row>
    <row r="16">
      <c r="B16" s="27" t="inlineStr">
        <is>
          <t>通信費</t>
        </is>
      </c>
      <c r="C16" s="34" t="n">
        <v>0</v>
      </c>
      <c r="D16" s="34" t="n">
        <v>0</v>
      </c>
      <c r="E16" s="27" t="inlineStr"/>
      <c r="F16" s="27" t="inlineStr"/>
    </row>
    <row r="17">
      <c r="B17" s="27" t="inlineStr">
        <is>
          <t>保険料</t>
        </is>
      </c>
      <c r="C17" s="34" t="n">
        <v>0</v>
      </c>
      <c r="D17" s="34" t="n">
        <v>0</v>
      </c>
      <c r="E17" s="27" t="inlineStr"/>
      <c r="F17" s="27" t="inlineStr"/>
    </row>
    <row r="18">
      <c r="B18" s="27" t="inlineStr">
        <is>
          <t>医療費</t>
        </is>
      </c>
      <c r="C18" s="34" t="n">
        <v>0</v>
      </c>
      <c r="D18" s="34" t="n">
        <v>0</v>
      </c>
      <c r="E18" s="27" t="inlineStr"/>
      <c r="F18" s="27" t="inlineStr"/>
    </row>
    <row r="19">
      <c r="B19" s="27" t="inlineStr">
        <is>
          <t>教育費</t>
        </is>
      </c>
      <c r="C19" s="34" t="n">
        <v>0</v>
      </c>
      <c r="D19" s="34" t="n">
        <v>0</v>
      </c>
      <c r="E19" s="27" t="inlineStr"/>
      <c r="F19" s="27" t="inlineStr"/>
    </row>
    <row r="20">
      <c r="B20" s="27" t="inlineStr">
        <is>
          <t>娯楽費</t>
        </is>
      </c>
      <c r="C20" s="34" t="n">
        <v>0</v>
      </c>
      <c r="D20" s="34" t="n">
        <v>0</v>
      </c>
      <c r="E20" s="27" t="inlineStr"/>
      <c r="F20" s="27" t="inlineStr"/>
    </row>
    <row r="21">
      <c r="B21" s="27" t="inlineStr">
        <is>
          <t>衣服費</t>
        </is>
      </c>
      <c r="C21" s="34" t="n">
        <v>0</v>
      </c>
      <c r="D21" s="34" t="n">
        <v>0</v>
      </c>
      <c r="E21" s="27" t="inlineStr"/>
      <c r="F21" s="27" t="inlineStr"/>
    </row>
    <row r="22">
      <c r="B22" s="27" t="inlineStr">
        <is>
          <t>美容費</t>
        </is>
      </c>
      <c r="C22" s="34" t="n">
        <v>0</v>
      </c>
      <c r="D22" s="34" t="n">
        <v>0</v>
      </c>
      <c r="E22" s="27" t="inlineStr"/>
      <c r="F22" s="27" t="inlineStr"/>
    </row>
    <row r="23">
      <c r="B23" s="27" t="inlineStr">
        <is>
          <t>交際費</t>
        </is>
      </c>
      <c r="C23" s="34" t="n">
        <v>0</v>
      </c>
      <c r="D23" s="34" t="n">
        <v>0</v>
      </c>
      <c r="E23" s="27" t="inlineStr"/>
      <c r="F23" s="27" t="inlineStr"/>
    </row>
    <row r="24">
      <c r="B24" s="27" t="inlineStr">
        <is>
          <t>その他</t>
        </is>
      </c>
      <c r="C24" s="34" t="n">
        <v>0</v>
      </c>
      <c r="D24" s="34" t="n">
        <v>0</v>
      </c>
      <c r="E24" s="27" t="inlineStr"/>
      <c r="F24" s="27" t="inlineStr"/>
    </row>
    <row r="27">
      <c r="B27" s="36" t="inlineStr">
        <is>
          <t>【収支バランス】</t>
        </is>
      </c>
    </row>
    <row r="28">
      <c r="B28" s="27" t="inlineStr">
        <is>
          <t>収入合計</t>
        </is>
      </c>
      <c r="D28" s="23">
        <f>E3</f>
        <v/>
      </c>
    </row>
    <row r="29">
      <c r="B29" s="27" t="inlineStr">
        <is>
          <t>支出合計</t>
        </is>
      </c>
      <c r="D29" s="23">
        <f>E10</f>
        <v/>
      </c>
    </row>
    <row r="30">
      <c r="B30" s="37" t="inlineStr">
        <is>
          <t>差額（貯蓄）</t>
        </is>
      </c>
      <c r="D30" s="23">
        <f>D28-D29</f>
        <v/>
      </c>
    </row>
    <row r="33">
      <c r="B33" s="38" t="inlineStr">
        <is>
          <t>【日別支出記録】</t>
        </is>
      </c>
    </row>
    <row r="34">
      <c r="A34" s="14" t="n"/>
      <c r="B34" s="14" t="inlineStr">
        <is>
          <t>日付</t>
        </is>
      </c>
      <c r="C34" s="14" t="inlineStr">
        <is>
          <t>カテゴリ</t>
        </is>
      </c>
      <c r="D34" s="14" t="inlineStr">
        <is>
          <t>金額</t>
        </is>
      </c>
      <c r="E34" s="14" t="inlineStr">
        <is>
          <t>支払方法</t>
        </is>
      </c>
      <c r="F34" s="14" t="inlineStr">
        <is>
          <t>メモ</t>
        </is>
      </c>
    </row>
    <row r="35">
      <c r="B35" s="27" t="n"/>
      <c r="C35" s="27" t="n"/>
      <c r="D35" s="27" t="n"/>
      <c r="E35" s="27" t="n"/>
      <c r="F35" s="27" t="n"/>
    </row>
    <row r="36">
      <c r="B36" s="27" t="n"/>
      <c r="C36" s="27" t="n"/>
      <c r="D36" s="27" t="n"/>
      <c r="E36" s="27" t="n"/>
      <c r="F36" s="27" t="n"/>
    </row>
    <row r="37">
      <c r="B37" s="27" t="n"/>
      <c r="C37" s="27" t="n"/>
      <c r="D37" s="27" t="n"/>
      <c r="E37" s="27" t="n"/>
      <c r="F37" s="27" t="n"/>
    </row>
    <row r="38">
      <c r="B38" s="27" t="n"/>
      <c r="C38" s="27" t="n"/>
      <c r="D38" s="27" t="n"/>
      <c r="E38" s="27" t="n"/>
      <c r="F38" s="27" t="n"/>
    </row>
    <row r="39">
      <c r="B39" s="27" t="n"/>
      <c r="C39" s="27" t="n"/>
      <c r="D39" s="27" t="n"/>
      <c r="E39" s="27" t="n"/>
      <c r="F39" s="27" t="n"/>
    </row>
    <row r="40">
      <c r="B40" s="27" t="n"/>
      <c r="C40" s="27" t="n"/>
      <c r="D40" s="27" t="n"/>
      <c r="E40" s="27" t="n"/>
      <c r="F40" s="27" t="n"/>
    </row>
    <row r="41">
      <c r="B41" s="27" t="n"/>
      <c r="C41" s="27" t="n"/>
      <c r="D41" s="27" t="n"/>
      <c r="E41" s="27" t="n"/>
      <c r="F41" s="27" t="n"/>
    </row>
    <row r="42">
      <c r="B42" s="27" t="n"/>
      <c r="C42" s="27" t="n"/>
      <c r="D42" s="27" t="n"/>
      <c r="E42" s="27" t="n"/>
      <c r="F42" s="27" t="n"/>
    </row>
    <row r="43">
      <c r="B43" s="27" t="n"/>
      <c r="C43" s="27" t="n"/>
      <c r="D43" s="27" t="n"/>
      <c r="E43" s="27" t="n"/>
      <c r="F43" s="27" t="n"/>
    </row>
    <row r="44">
      <c r="B44" s="27" t="n"/>
      <c r="C44" s="27" t="n"/>
      <c r="D44" s="27" t="n"/>
      <c r="E44" s="27" t="n"/>
      <c r="F44" s="27" t="n"/>
    </row>
    <row r="45">
      <c r="B45" s="27" t="n"/>
      <c r="C45" s="27" t="n"/>
      <c r="D45" s="27" t="n"/>
      <c r="E45" s="27" t="n"/>
      <c r="F45" s="27" t="n"/>
    </row>
    <row r="46">
      <c r="B46" s="27" t="n"/>
      <c r="C46" s="27" t="n"/>
      <c r="D46" s="27" t="n"/>
      <c r="E46" s="27" t="n"/>
      <c r="F46" s="27" t="n"/>
    </row>
    <row r="47">
      <c r="B47" s="27" t="n"/>
      <c r="C47" s="27" t="n"/>
      <c r="D47" s="27" t="n"/>
      <c r="E47" s="27" t="n"/>
      <c r="F47" s="27" t="n"/>
    </row>
    <row r="48">
      <c r="B48" s="27" t="n"/>
      <c r="C48" s="27" t="n"/>
      <c r="D48" s="27" t="n"/>
      <c r="E48" s="27" t="n"/>
      <c r="F48" s="27" t="n"/>
    </row>
    <row r="49">
      <c r="B49" s="27" t="n"/>
      <c r="C49" s="27" t="n"/>
      <c r="D49" s="27" t="n"/>
      <c r="E49" s="27" t="n"/>
      <c r="F49" s="27" t="n"/>
    </row>
    <row r="50">
      <c r="B50" s="27" t="n"/>
      <c r="C50" s="27" t="n"/>
      <c r="D50" s="27" t="n"/>
      <c r="E50" s="27" t="n"/>
      <c r="F50" s="27" t="n"/>
    </row>
    <row r="51">
      <c r="B51" s="27" t="n"/>
      <c r="C51" s="27" t="n"/>
      <c r="D51" s="27" t="n"/>
      <c r="E51" s="27" t="n"/>
      <c r="F51" s="27" t="n"/>
    </row>
    <row r="52">
      <c r="B52" s="27" t="n"/>
      <c r="C52" s="27" t="n"/>
      <c r="D52" s="27" t="n"/>
      <c r="E52" s="27" t="n"/>
      <c r="F52" s="27" t="n"/>
    </row>
    <row r="53">
      <c r="B53" s="27" t="n"/>
      <c r="C53" s="27" t="n"/>
      <c r="D53" s="27" t="n"/>
      <c r="E53" s="27" t="n"/>
      <c r="F53" s="27" t="n"/>
    </row>
    <row r="54">
      <c r="B54" s="27" t="n"/>
      <c r="C54" s="27" t="n"/>
      <c r="D54" s="27" t="n"/>
      <c r="E54" s="27" t="n"/>
      <c r="F54" s="27" t="n"/>
    </row>
    <row r="55">
      <c r="B55" s="27" t="n"/>
      <c r="C55" s="27" t="n"/>
      <c r="D55" s="27" t="n"/>
      <c r="E55" s="27" t="n"/>
      <c r="F55" s="27" t="n"/>
    </row>
    <row r="56">
      <c r="B56" s="27" t="n"/>
      <c r="C56" s="27" t="n"/>
      <c r="D56" s="27" t="n"/>
      <c r="E56" s="27" t="n"/>
      <c r="F56" s="27" t="n"/>
    </row>
    <row r="57">
      <c r="B57" s="27" t="n"/>
      <c r="C57" s="27" t="n"/>
      <c r="D57" s="27" t="n"/>
      <c r="E57" s="27" t="n"/>
      <c r="F57" s="27" t="n"/>
    </row>
    <row r="58">
      <c r="B58" s="27" t="n"/>
      <c r="C58" s="27" t="n"/>
      <c r="D58" s="27" t="n"/>
      <c r="E58" s="27" t="n"/>
      <c r="F58" s="27" t="n"/>
    </row>
    <row r="59">
      <c r="B59" s="27" t="n"/>
      <c r="C59" s="27" t="n"/>
      <c r="D59" s="27" t="n"/>
      <c r="E59" s="27" t="n"/>
      <c r="F59" s="27" t="n"/>
    </row>
    <row r="60">
      <c r="B60" s="27" t="n"/>
      <c r="C60" s="27" t="n"/>
      <c r="D60" s="27" t="n"/>
      <c r="E60" s="27" t="n"/>
      <c r="F60" s="27" t="n"/>
    </row>
    <row r="61">
      <c r="B61" s="27" t="n"/>
      <c r="C61" s="27" t="n"/>
      <c r="D61" s="27" t="n"/>
      <c r="E61" s="27" t="n"/>
      <c r="F61" s="27" t="n"/>
    </row>
    <row r="62">
      <c r="B62" s="27" t="n"/>
      <c r="C62" s="27" t="n"/>
      <c r="D62" s="27" t="n"/>
      <c r="E62" s="27" t="n"/>
      <c r="F62" s="27" t="n"/>
    </row>
    <row r="63">
      <c r="B63" s="27" t="n"/>
      <c r="C63" s="27" t="n"/>
      <c r="D63" s="27" t="n"/>
      <c r="E63" s="27" t="n"/>
      <c r="F63" s="27" t="n"/>
    </row>
    <row r="64">
      <c r="B64" s="27" t="n"/>
      <c r="C64" s="27" t="n"/>
      <c r="D64" s="27" t="n"/>
      <c r="E64" s="27" t="n"/>
      <c r="F64" s="27" t="n"/>
    </row>
    <row r="65">
      <c r="B65" s="27" t="n"/>
      <c r="C65" s="27" t="n"/>
      <c r="D65" s="27" t="n"/>
      <c r="E65" s="27" t="n"/>
      <c r="F65" s="27" t="n"/>
    </row>
  </sheetData>
  <mergeCells count="1">
    <mergeCell ref="B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B1" s="31" t="inlineStr">
        <is>
          <t>📌 固定費・サブスクリプション管理</t>
        </is>
      </c>
    </row>
    <row r="3">
      <c r="A3" s="14" t="n"/>
      <c r="B3" s="14" t="inlineStr">
        <is>
          <t>項目名</t>
        </is>
      </c>
      <c r="C3" s="14" t="inlineStr">
        <is>
          <t>月額</t>
        </is>
      </c>
      <c r="D3" s="14" t="inlineStr">
        <is>
          <t>支払日</t>
        </is>
      </c>
      <c r="E3" s="14" t="inlineStr">
        <is>
          <t>支払方法</t>
        </is>
      </c>
      <c r="F3" s="14" t="inlineStr">
        <is>
          <t>カテゴリ</t>
        </is>
      </c>
      <c r="G3" s="14" t="inlineStr">
        <is>
          <t>次回支払日</t>
        </is>
      </c>
      <c r="H3" s="14" t="inlineStr">
        <is>
          <t>ステータス</t>
        </is>
      </c>
    </row>
    <row r="4">
      <c r="B4" s="27" t="inlineStr">
        <is>
          <t>家賃</t>
        </is>
      </c>
      <c r="C4" s="23" t="n">
        <v>80000</v>
      </c>
      <c r="D4" s="27" t="n">
        <v>25</v>
      </c>
      <c r="E4" s="27" t="inlineStr">
        <is>
          <t>口座振替</t>
        </is>
      </c>
      <c r="F4" s="27" t="inlineStr">
        <is>
          <t>住居費</t>
        </is>
      </c>
      <c r="G4" s="27" t="inlineStr"/>
      <c r="H4" s="27" t="inlineStr"/>
    </row>
    <row r="5">
      <c r="B5" s="27" t="inlineStr">
        <is>
          <t>電気代</t>
        </is>
      </c>
      <c r="C5" s="23" t="n">
        <v>8000</v>
      </c>
      <c r="D5" s="27" t="n">
        <v>15</v>
      </c>
      <c r="E5" s="27" t="inlineStr">
        <is>
          <t>口座振替</t>
        </is>
      </c>
      <c r="F5" s="27" t="inlineStr">
        <is>
          <t>水道光熱費</t>
        </is>
      </c>
      <c r="G5" s="27" t="inlineStr"/>
      <c r="H5" s="27" t="inlineStr"/>
    </row>
    <row r="6">
      <c r="B6" s="27" t="inlineStr">
        <is>
          <t>ガス代</t>
        </is>
      </c>
      <c r="C6" s="23" t="n">
        <v>5000</v>
      </c>
      <c r="D6" s="27" t="n">
        <v>15</v>
      </c>
      <c r="E6" s="27" t="inlineStr">
        <is>
          <t>口座振替</t>
        </is>
      </c>
      <c r="F6" s="27" t="inlineStr">
        <is>
          <t>水道光熱費</t>
        </is>
      </c>
      <c r="G6" s="27" t="inlineStr"/>
      <c r="H6" s="27" t="inlineStr"/>
    </row>
    <row r="7">
      <c r="B7" s="27" t="inlineStr">
        <is>
          <t>水道代</t>
        </is>
      </c>
      <c r="C7" s="23" t="n">
        <v>4000</v>
      </c>
      <c r="D7" s="27" t="n">
        <v>15</v>
      </c>
      <c r="E7" s="27" t="inlineStr">
        <is>
          <t>口座振替</t>
        </is>
      </c>
      <c r="F7" s="27" t="inlineStr">
        <is>
          <t>水道光熱費</t>
        </is>
      </c>
      <c r="G7" s="27" t="inlineStr"/>
      <c r="H7" s="27" t="inlineStr"/>
    </row>
    <row r="8">
      <c r="B8" s="27" t="inlineStr">
        <is>
          <t>携帯電話</t>
        </is>
      </c>
      <c r="C8" s="23" t="n">
        <v>5000</v>
      </c>
      <c r="D8" s="27" t="n">
        <v>10</v>
      </c>
      <c r="E8" s="27" t="inlineStr">
        <is>
          <t>クレジットカード</t>
        </is>
      </c>
      <c r="F8" s="27" t="inlineStr">
        <is>
          <t>通信費</t>
        </is>
      </c>
      <c r="G8" s="27" t="inlineStr"/>
      <c r="H8" s="27" t="inlineStr"/>
    </row>
    <row r="9">
      <c r="B9" s="27" t="inlineStr">
        <is>
          <t>インターネット</t>
        </is>
      </c>
      <c r="C9" s="23" t="n">
        <v>5000</v>
      </c>
      <c r="D9" s="27" t="n">
        <v>20</v>
      </c>
      <c r="E9" s="27" t="inlineStr">
        <is>
          <t>クレジットカード</t>
        </is>
      </c>
      <c r="F9" s="27" t="inlineStr">
        <is>
          <t>通信費</t>
        </is>
      </c>
      <c r="G9" s="27" t="inlineStr"/>
      <c r="H9" s="27" t="inlineStr"/>
    </row>
    <row r="10">
      <c r="B10" s="27" t="inlineStr">
        <is>
          <t>Netflix</t>
        </is>
      </c>
      <c r="C10" s="23" t="n">
        <v>1490</v>
      </c>
      <c r="D10" s="27" t="n">
        <v>1</v>
      </c>
      <c r="E10" s="27" t="inlineStr">
        <is>
          <t>クレジットカード</t>
        </is>
      </c>
      <c r="F10" s="27" t="inlineStr">
        <is>
          <t>娯楽費</t>
        </is>
      </c>
      <c r="G10" s="27" t="inlineStr"/>
      <c r="H10" s="27" t="inlineStr"/>
    </row>
    <row r="11">
      <c r="B11" s="27" t="inlineStr">
        <is>
          <t>Spotify</t>
        </is>
      </c>
      <c r="C11" s="23" t="n">
        <v>980</v>
      </c>
      <c r="D11" s="27" t="n">
        <v>1</v>
      </c>
      <c r="E11" s="27" t="inlineStr">
        <is>
          <t>クレジットカード</t>
        </is>
      </c>
      <c r="F11" s="27" t="inlineStr">
        <is>
          <t>娯楽費</t>
        </is>
      </c>
      <c r="G11" s="27" t="inlineStr"/>
      <c r="H11" s="27" t="inlineStr"/>
    </row>
    <row r="12">
      <c r="B12" s="27" t="inlineStr">
        <is>
          <t>生命保険</t>
        </is>
      </c>
      <c r="C12" s="23" t="n">
        <v>10000</v>
      </c>
      <c r="D12" s="27" t="n">
        <v>27</v>
      </c>
      <c r="E12" s="27" t="inlineStr">
        <is>
          <t>口座振替</t>
        </is>
      </c>
      <c r="F12" s="27" t="inlineStr">
        <is>
          <t>保険料</t>
        </is>
      </c>
      <c r="G12" s="27" t="inlineStr"/>
      <c r="H12" s="27" t="inlineStr"/>
    </row>
    <row r="13">
      <c r="B13" s="27" t="inlineStr"/>
      <c r="C13" s="27" t="n">
        <v>0</v>
      </c>
      <c r="D13" s="27" t="inlineStr"/>
      <c r="E13" s="27" t="inlineStr"/>
      <c r="F13" s="27" t="inlineStr"/>
      <c r="G13" s="27" t="inlineStr"/>
      <c r="H13" s="27" t="inlineStr"/>
    </row>
    <row r="14">
      <c r="B14" s="27" t="inlineStr"/>
      <c r="C14" s="27" t="n">
        <v>0</v>
      </c>
      <c r="D14" s="27" t="inlineStr"/>
      <c r="E14" s="27" t="inlineStr"/>
      <c r="F14" s="27" t="inlineStr"/>
      <c r="G14" s="27" t="inlineStr"/>
      <c r="H14" s="27" t="inlineStr"/>
    </row>
    <row r="15">
      <c r="B15" s="27" t="inlineStr"/>
      <c r="C15" s="27" t="n">
        <v>0</v>
      </c>
      <c r="D15" s="27" t="inlineStr"/>
      <c r="E15" s="27" t="inlineStr"/>
      <c r="F15" s="27" t="inlineStr"/>
      <c r="G15" s="27" t="inlineStr"/>
      <c r="H15" s="27" t="inlineStr"/>
    </row>
    <row r="17">
      <c r="B17" s="38" t="inlineStr">
        <is>
          <t>月額合計</t>
        </is>
      </c>
      <c r="C17" s="33">
        <f>SUM(C4:C15)</f>
        <v/>
      </c>
    </row>
  </sheetData>
  <mergeCells count="1">
    <mergeCell ref="B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>
      <c r="B1" s="31" t="inlineStr">
        <is>
          <t>🎯 貯蓄目標トラッカー</t>
        </is>
      </c>
    </row>
    <row r="3">
      <c r="A3" s="14" t="n"/>
      <c r="B3" s="14" t="inlineStr">
        <is>
          <t>目標名</t>
        </is>
      </c>
      <c r="C3" s="14" t="inlineStr">
        <is>
          <t>目標金額</t>
        </is>
      </c>
      <c r="D3" s="14" t="inlineStr">
        <is>
          <t>現在の貯蓄</t>
        </is>
      </c>
      <c r="E3" s="14" t="inlineStr">
        <is>
          <t>残り</t>
        </is>
      </c>
      <c r="F3" s="14" t="inlineStr">
        <is>
          <t>達成率</t>
        </is>
      </c>
      <c r="G3" s="14" t="inlineStr">
        <is>
          <t>期限</t>
        </is>
      </c>
    </row>
    <row r="4">
      <c r="B4" s="27" t="inlineStr">
        <is>
          <t>緊急予備費</t>
        </is>
      </c>
      <c r="C4" s="23" t="n">
        <v>1000000</v>
      </c>
      <c r="D4" s="23" t="n">
        <v>300000</v>
      </c>
      <c r="E4" s="23">
        <f>C4-D4</f>
        <v/>
      </c>
      <c r="F4" s="24">
        <f>D4/C4</f>
        <v/>
      </c>
      <c r="G4" s="27" t="inlineStr"/>
    </row>
    <row r="5">
      <c r="B5" s="27" t="inlineStr">
        <is>
          <t>旅行資金</t>
        </is>
      </c>
      <c r="C5" s="23" t="n">
        <v>500000</v>
      </c>
      <c r="D5" s="23" t="n">
        <v>150000</v>
      </c>
      <c r="E5" s="23">
        <f>C5-D5</f>
        <v/>
      </c>
      <c r="F5" s="24">
        <f>D5/C5</f>
        <v/>
      </c>
      <c r="G5" s="27" t="inlineStr"/>
    </row>
    <row r="6">
      <c r="B6" s="27" t="inlineStr">
        <is>
          <t>車購入</t>
        </is>
      </c>
      <c r="C6" s="23" t="n">
        <v>2000000</v>
      </c>
      <c r="D6" s="23" t="n">
        <v>500000</v>
      </c>
      <c r="E6" s="23">
        <f>C6-D6</f>
        <v/>
      </c>
      <c r="F6" s="24">
        <f>D6/C6</f>
        <v/>
      </c>
      <c r="G6" s="27" t="inlineStr"/>
    </row>
    <row r="7">
      <c r="B7" s="27" t="inlineStr">
        <is>
          <t>教育資金</t>
        </is>
      </c>
      <c r="C7" s="23" t="n">
        <v>3000000</v>
      </c>
      <c r="D7" s="23" t="n">
        <v>800000</v>
      </c>
      <c r="E7" s="23">
        <f>C7-D7</f>
        <v/>
      </c>
      <c r="F7" s="24">
        <f>D7/C7</f>
        <v/>
      </c>
      <c r="G7" s="27" t="inlineStr"/>
    </row>
    <row r="8">
      <c r="B8" s="27" t="inlineStr">
        <is>
          <t>老後資金</t>
        </is>
      </c>
      <c r="C8" s="23" t="n">
        <v>10000000</v>
      </c>
      <c r="D8" s="23" t="n">
        <v>1000000</v>
      </c>
      <c r="E8" s="23">
        <f>C8-D8</f>
        <v/>
      </c>
      <c r="F8" s="24">
        <f>D8/C8</f>
        <v/>
      </c>
      <c r="G8" s="27" t="inlineStr"/>
    </row>
  </sheetData>
  <mergeCells count="1">
    <mergeCell ref="B1:F1"/>
  </mergeCells>
  <conditionalFormatting sqref="F4:F8">
    <cfRule type="dataBar" priority="1">
      <dataBar>
        <cfvo type="num" val="0"/>
        <cfvo type="num" val="1"/>
        <color rgb="0027AE60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B3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B1" s="31" t="inlineStr">
        <is>
          <t>📖 家計簿の使い方ガイド</t>
        </is>
      </c>
    </row>
    <row r="2">
      <c r="B2" t="inlineStr"/>
    </row>
    <row r="3">
      <c r="B3" s="38" t="inlineStr">
        <is>
          <t>【はじめに】</t>
        </is>
      </c>
    </row>
    <row r="4">
      <c r="B4" t="inlineStr">
        <is>
          <t>この家計簿テンプレートは、毎月の収入と支出を管理し、</t>
        </is>
      </c>
    </row>
    <row r="5">
      <c r="B5" t="inlineStr">
        <is>
          <t>年間の貯蓄目標を達成するためのツールです。</t>
        </is>
      </c>
    </row>
    <row r="6">
      <c r="B6" t="inlineStr"/>
    </row>
    <row r="7">
      <c r="B7" s="38" t="inlineStr">
        <is>
          <t>【基本的な使い方】</t>
        </is>
      </c>
    </row>
    <row r="8">
      <c r="B8" t="inlineStr">
        <is>
          <t>1. 各月のシートに毎日の収入と支出を記録します</t>
        </is>
      </c>
    </row>
    <row r="9">
      <c r="B9" t="inlineStr">
        <is>
          <t>2. カテゴリごとの予算を設定します（予算列に入力）</t>
        </is>
      </c>
    </row>
    <row r="10">
      <c r="B10" t="inlineStr">
        <is>
          <t>3. 実績を入力すると、自動的に合計が計算されます</t>
        </is>
      </c>
    </row>
    <row r="11">
      <c r="B11" t="inlineStr">
        <is>
          <t>4. ダッシュボードで年間のサマリーを確認できます</t>
        </is>
      </c>
    </row>
    <row r="12">
      <c r="B12" t="inlineStr"/>
    </row>
    <row r="13">
      <c r="B13" s="38" t="inlineStr">
        <is>
          <t>【シートの説明】</t>
        </is>
      </c>
    </row>
    <row r="14">
      <c r="B14" t="inlineStr">
        <is>
          <t>• ダッシュボード：年間の収支サマリーとグラフ</t>
        </is>
      </c>
    </row>
    <row r="15">
      <c r="B15" t="inlineStr">
        <is>
          <t>• 1月〜12月：各月の収支管理と日別支出記録</t>
        </is>
      </c>
    </row>
    <row r="16">
      <c r="B16" t="inlineStr">
        <is>
          <t>• 固定費・サブスク管理：毎月の固定費一覧</t>
        </is>
      </c>
    </row>
    <row r="17">
      <c r="B17" t="inlineStr">
        <is>
          <t>• 貯蓄目標：貯蓄目標の進捗管理</t>
        </is>
      </c>
    </row>
    <row r="18">
      <c r="B18" t="inlineStr"/>
    </row>
    <row r="19">
      <c r="B19" s="38" t="inlineStr">
        <is>
          <t>【カスタマイズ方法】</t>
        </is>
      </c>
    </row>
    <row r="20">
      <c r="B20" t="inlineStr">
        <is>
          <t>• カテゴリは自由に追加・変更できます</t>
        </is>
      </c>
    </row>
    <row r="21">
      <c r="B21" t="inlineStr">
        <is>
          <t>• 色やフォントはお好みで変更してください</t>
        </is>
      </c>
    </row>
    <row r="22">
      <c r="B22" t="inlineStr">
        <is>
          <t>• 行を追加する場合は、数式が反映されるか確認してください</t>
        </is>
      </c>
    </row>
    <row r="23">
      <c r="B23" t="inlineStr"/>
    </row>
    <row r="24">
      <c r="B24" s="38" t="inlineStr">
        <is>
          <t>【Tips】</t>
        </is>
      </c>
    </row>
    <row r="25">
      <c r="B25" t="inlineStr">
        <is>
          <t>• 毎日記録する習慣をつけましょう</t>
        </is>
      </c>
    </row>
    <row r="26">
      <c r="B26" t="inlineStr">
        <is>
          <t>• 月初に予算を設定し、月末に振り返りをしましょう</t>
        </is>
      </c>
    </row>
    <row r="27">
      <c r="B27" t="inlineStr">
        <is>
          <t>• 固定費は「固定費・サブスク管理」シートで一括管理</t>
        </is>
      </c>
    </row>
    <row r="28">
      <c r="B28" t="inlineStr">
        <is>
          <t>• 貯蓄目標を設定するとモチベーションが上がります</t>
        </is>
      </c>
    </row>
    <row r="29">
      <c r="B29" t="inlineStr"/>
    </row>
    <row r="30">
      <c r="B30" s="38" t="inlineStr">
        <is>
          <t>【注意事項】</t>
        </is>
      </c>
    </row>
    <row r="31">
      <c r="B31" t="inlineStr">
        <is>
          <t>• このファイルはGoogleスプレッドシートにインポートして使えます</t>
        </is>
      </c>
    </row>
    <row r="32">
      <c r="B32" t="inlineStr">
        <is>
          <t>• 数式のあるセルを上書きしないよう注意してください</t>
        </is>
      </c>
    </row>
    <row r="33">
      <c r="B33" t="inlineStr">
        <is>
          <t>• 定期的にバックアップを取ることをおすすめします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2026-05-15T11:05:59Z</dcterms:created>
  <dcterms:modified xsi:type="dcterms:W3CDTF">2026-05-15T11:05:59Z</dcterms:modified>
</cp:coreProperties>
</file>